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dre\Documents\"/>
    </mc:Choice>
  </mc:AlternateContent>
  <bookViews>
    <workbookView xWindow="0" yWindow="0" windowWidth="28800" windowHeight="11715"/>
  </bookViews>
  <sheets>
    <sheet name="OSSM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3" i="1" l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24" i="1" s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<sst xmlns="http://schemas.openxmlformats.org/spreadsheetml/2006/main" count="73" uniqueCount="49">
  <si>
    <t>Item</t>
  </si>
  <si>
    <t>Qty</t>
  </si>
  <si>
    <t>Approx. Price</t>
  </si>
  <si>
    <t>Approx. Total</t>
  </si>
  <si>
    <t>Supplier</t>
  </si>
  <si>
    <t>Link</t>
  </si>
  <si>
    <t>SureFrame 40 Series light T-slotted rail, silver, 6063-T6 anodized aluminum alloy, cut to length, 40 x 40mm profile, slot size 8. - 94cm</t>
  </si>
  <si>
    <t>Automation Direct</t>
  </si>
  <si>
    <t>https://www.automationdirect.com/adc/shopping/catalog/structural_frames_-z-_rails/t-slotted_rails/40-4040cl</t>
  </si>
  <si>
    <t>SureFrame 40 Series light T-slotted rail, silver, 6063-T6 anodized aluminum alloy, cut to length, 40 x 40mm profile, slot size 8. - 90cm</t>
  </si>
  <si>
    <t>SureFrame 40 Series light T-slotted rail, silver, 6063-T6 anodized aluminum alloy, cut to length, 40 x 40mm profile, slot size 8. - 57cm</t>
  </si>
  <si>
    <t>SureFrame 40 Series light T-slotted rail, silver, 6063-T6 anodized aluminum alloy, cut to length, 40 x 40mm profile, slot size 8. - 20cm</t>
  </si>
  <si>
    <t xml:space="preserve">FATH socket head cap screw, silver, M6-1.0 x 20mm, zinc plated steel, slot size 6/8/10. Package of 10. </t>
  </si>
  <si>
    <t>https://www.automationdirect.com/adc/shopping/catalog/structural_frames_-z-_rails/fasteners_for_t-slotted_rails/161097</t>
  </si>
  <si>
    <t>FATH socket head cap screw, silver, M8-1.25 x 12mm, zinc plated steel, slot size 8/10. Package of 10.</t>
  </si>
  <si>
    <t>https://www.automationdirect.com/adc/shopping/catalog/structural_frames_-z-_rails/fasteners_for_t-slotted_rails/161098</t>
  </si>
  <si>
    <t>Wired 20A 12V - DC Motor Polarity Reversing Rocker 3 Position DPDT Momentary Automatic Reset Switch (On)-Off-(On) 6 Pin</t>
  </si>
  <si>
    <t>Aliexpress</t>
  </si>
  <si>
    <t>https://www.aliexpress.us/item/3256807751611955.html</t>
  </si>
  <si>
    <t>5V 12V 10A Voltage Regulator PWM DC Motor Speed Controller Governor Stepless Speed Regulator LED Dimmer Power Controller</t>
  </si>
  <si>
    <t>https://www.aliexpress.us/item/3256806216524732.html</t>
  </si>
  <si>
    <t>SucceBuy 12V Linear Actuator 500MM 1000N Electric Linear Motor Controller Homeuse with Mounting Bracket IP54 Protect</t>
  </si>
  <si>
    <t>https://www.aliexpress.us/item/3256807993958650.html</t>
  </si>
  <si>
    <t>SucceBuy 12V Linear Actuator 300MM 1000N Electric Linear Motor Controller Homeuse with Mounting Bracket IP54 Protect</t>
  </si>
  <si>
    <t>SucceBuy 12V Linear Actuator 150MM 1000N Electric Linear Motor Controller Homeuse with Mounting Bracket IP54 Protect</t>
  </si>
  <si>
    <t>OVERTURE PETG 3D Printer Filament 1.75mm, Neatly Wound Durable PETG 1kg Spool</t>
  </si>
  <si>
    <t>Amazon</t>
  </si>
  <si>
    <t>https://a.co/d/1JFO1b0</t>
  </si>
  <si>
    <t>16 Gauge 8 Conductor Electrical Wire 10FT, UL 2464 16 AWG 8 Wire Cable Tinned Copper Stranded 16/8</t>
  </si>
  <si>
    <t>https://a.co/d/gUDbELM</t>
  </si>
  <si>
    <t>TNP AC Power Cable Computer Monitor Cord 15 Feet 10a 125v 3 Prong TV Plug-in Cord NEMA 5-15P to IEC 320 C13</t>
  </si>
  <si>
    <t>https://a.co/d/8hPM3tj</t>
  </si>
  <si>
    <t xml:space="preserve">20pcs 4040 Series M6 T Nuts, Tee Sliding Slot Nuts Hammer Head Fastener Nut </t>
  </si>
  <si>
    <t>https://a.co/d/5CoxvsK</t>
  </si>
  <si>
    <t>T Nuts Tee Sliding Slot Nuts 40 Series M8 Threaded Slide for 40x40 Aluminum Extrusions Frame 12pcs</t>
  </si>
  <si>
    <t>https://a.co/d/dtzq8li</t>
  </si>
  <si>
    <t xml:space="preserve">112 Pcs M8 Screws Set, Metric Bolt Assortment, Hex Socket Head Cap Bolts and Nuts and Washers Assortment Kit (Silver) </t>
  </si>
  <si>
    <t>https://a.co/d/fkeXwfG</t>
  </si>
  <si>
    <t>M6 Hex Socket Head Cap Bolts Nuts Screws Assortment Set 304 Stainless Steel Screws</t>
  </si>
  <si>
    <t>https://a.co/d/ebitlnB</t>
  </si>
  <si>
    <t>12V 10A Power Supply 120W 100V~240V AC to DC Adapter Converter Transformer</t>
  </si>
  <si>
    <t>https://a.co/d/9jyX3lN</t>
  </si>
  <si>
    <t>16 Gauge 2 Conductor Electrical Wire 16AWG Electrical Wire Stranded PVC 25ft</t>
  </si>
  <si>
    <t>https://a.co/d/0Hcl5Me</t>
  </si>
  <si>
    <t>iexcell 5 Pcs M8 x 70mm Thread Pitch 1.25 mm Stainless Steel 304 Hex Socket Head Cap Screws Bolts</t>
  </si>
  <si>
    <t>https://a.co/d/7zjzPoh</t>
  </si>
  <si>
    <t>M8 x 40mm Flat Washer, 304 Stainless Steel Washers Flat, M8 Washers Flat OD 40mm - 16Pcs</t>
  </si>
  <si>
    <t>https://a.co/d/3BLqdH9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</si>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</sst>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4" x14ac:knownFonts="1"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0" fontId="3" fillId="0" borderId="0" xfId="1" applyAlignment="1">
      <alignment horizontal="center" vertical="center" wrapText="1"/>
    </xf>
    <xf numFmtId="0" fontId="3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7"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4" formatCode="&quot;$&quot;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4" formatCode="&quot;$&quot;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" displayName="Table2" ref="A1:F24" totalsRowShown="0" headerRowDxfId="6">
  <autoFilter ref="A1:F24"/>
  <tableColumns count="6">
    <tableColumn id="1" name="Item" dataDxfId="5"/>
    <tableColumn id="2" name="Qty" dataDxfId="4"/>
    <tableColumn id="3" name="Approx. Price" dataDxfId="3"/>
    <tableColumn id="4" name="Approx. Total" dataDxfId="2"/>
    <tableColumn id="5" name="Supplier" dataDxfId="1"/>
    <tableColumn id="6" name="Link" dataDxfId="0" dataCellStyle="Hyperlink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.co/d/8hPM3tj" TargetMode="External"/><Relationship Id="rId13" Type="http://schemas.openxmlformats.org/officeDocument/2006/relationships/hyperlink" Target="https://a.co/d/0Hcl5Me" TargetMode="External"/><Relationship Id="rId18" Type="http://schemas.openxmlformats.org/officeDocument/2006/relationships/hyperlink" Target="https://www.automationdirect.com/adc/shopping/catalog/structural_frames_-z-_rails/t-slotted_rails/40-4040cl" TargetMode="External"/><Relationship Id="rId3" Type="http://schemas.openxmlformats.org/officeDocument/2006/relationships/hyperlink" Target="https://www.aliexpress.us/item/3256807993958650.html" TargetMode="External"/><Relationship Id="rId21" Type="http://schemas.openxmlformats.org/officeDocument/2006/relationships/hyperlink" Target="https://a.co/d/7zjzPoh" TargetMode="External"/><Relationship Id="rId7" Type="http://schemas.openxmlformats.org/officeDocument/2006/relationships/hyperlink" Target="https://a.co/d/gUDbELM" TargetMode="External"/><Relationship Id="rId12" Type="http://schemas.openxmlformats.org/officeDocument/2006/relationships/hyperlink" Target="https://a.co/d/9jyX3lN" TargetMode="External"/><Relationship Id="rId17" Type="http://schemas.openxmlformats.org/officeDocument/2006/relationships/hyperlink" Target="https://www.automationdirect.com/adc/shopping/catalog/structural_frames_-z-_rails/t-slotted_rails/40-4040cl" TargetMode="External"/><Relationship Id="rId2" Type="http://schemas.openxmlformats.org/officeDocument/2006/relationships/hyperlink" Target="https://www.aliexpress.us/item/3256807993958650.html" TargetMode="External"/><Relationship Id="rId16" Type="http://schemas.openxmlformats.org/officeDocument/2006/relationships/hyperlink" Target="https://www.automationdirect.com/adc/shopping/catalog/structural_frames_-z-_rails/t-slotted_rails/40-4040cl" TargetMode="External"/><Relationship Id="rId20" Type="http://schemas.openxmlformats.org/officeDocument/2006/relationships/hyperlink" Target="https://www.automationdirect.com/adc/shopping/catalog/structural_frames_-z-_rails/fasteners_for_t-slotted_rails/161097" TargetMode="External"/><Relationship Id="rId1" Type="http://schemas.openxmlformats.org/officeDocument/2006/relationships/hyperlink" Target="https://www.aliexpress.us/item/3256807751611955.html" TargetMode="External"/><Relationship Id="rId6" Type="http://schemas.openxmlformats.org/officeDocument/2006/relationships/hyperlink" Target="https://a.co/d/1JFO1b0" TargetMode="External"/><Relationship Id="rId11" Type="http://schemas.openxmlformats.org/officeDocument/2006/relationships/hyperlink" Target="https://a.co/d/fkeXwfG" TargetMode="External"/><Relationship Id="rId5" Type="http://schemas.openxmlformats.org/officeDocument/2006/relationships/hyperlink" Target="https://www.aliexpress.us/item/3256806216524732.html" TargetMode="External"/><Relationship Id="rId15" Type="http://schemas.openxmlformats.org/officeDocument/2006/relationships/hyperlink" Target="https://www.automationdirect.com/adc/shopping/catalog/structural_frames_-z-_rails/fasteners_for_t-slotted_rails/161098" TargetMode="External"/><Relationship Id="rId23" Type="http://schemas.openxmlformats.org/officeDocument/2006/relationships/table" Target="../tables/table1.xml"/><Relationship Id="rId10" Type="http://schemas.openxmlformats.org/officeDocument/2006/relationships/hyperlink" Target="https://a.co/d/dtzq8li" TargetMode="External"/><Relationship Id="rId19" Type="http://schemas.openxmlformats.org/officeDocument/2006/relationships/hyperlink" Target="https://www.automationdirect.com/adc/shopping/catalog/structural_frames_-z-_rails/t-slotted_rails/40-4040cl" TargetMode="External"/><Relationship Id="rId4" Type="http://schemas.openxmlformats.org/officeDocument/2006/relationships/hyperlink" Target="https://www.aliexpress.us/item/3256807993958650.html" TargetMode="External"/><Relationship Id="rId9" Type="http://schemas.openxmlformats.org/officeDocument/2006/relationships/hyperlink" Target="https://a.co/d/5CoxvsK" TargetMode="External"/><Relationship Id="rId14" Type="http://schemas.openxmlformats.org/officeDocument/2006/relationships/hyperlink" Target="https://a.co/d/ebitlnB" TargetMode="External"/><Relationship Id="rId22" Type="http://schemas.openxmlformats.org/officeDocument/2006/relationships/hyperlink" Target="https://a.co/d/3BLqdH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tabSelected="1" workbookViewId="0">
      <pane ySplit="1" topLeftCell="A2" activePane="bottomLeft" state="frozen"/>
      <selection pane="bottomLeft" activeCell="A23" sqref="A23"/>
    </sheetView>
  </sheetViews>
  <sheetFormatPr defaultColWidth="53.5703125" defaultRowHeight="15" x14ac:dyDescent="0.2"/>
  <cols>
    <col min="1" max="1" width="49.28515625" style="2" bestFit="1" customWidth="1"/>
    <col min="2" max="2" width="17.140625" style="2" customWidth="1"/>
    <col min="3" max="3" width="17.85546875" style="2" customWidth="1"/>
    <col min="4" max="4" width="17.7109375" style="2" customWidth="1"/>
    <col min="5" max="5" width="24.42578125" style="2" customWidth="1"/>
    <col min="6" max="6" width="48.42578125" style="2" bestFit="1" customWidth="1"/>
    <col min="7" max="16384" width="53.5703125" style="2"/>
  </cols>
  <sheetData>
    <row r="1" spans="1:6" ht="15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" x14ac:dyDescent="0.2">
      <c r="A2" s="3" t="s">
        <v>6</v>
      </c>
      <c r="B2" s="2">
        <v>4</v>
      </c>
      <c r="C2" s="4">
        <v>25</v>
      </c>
      <c r="D2" s="4">
        <f t="shared" ref="D2:D11" si="0">C2*B2</f>
        <v>100</v>
      </c>
      <c r="E2" s="2" t="s">
        <v>7</v>
      </c>
      <c r="F2" s="5" t="s">
        <v>8</v>
      </c>
    </row>
    <row r="3" spans="1:6" ht="45" x14ac:dyDescent="0.2">
      <c r="A3" s="3" t="s">
        <v>9</v>
      </c>
      <c r="B3" s="2">
        <v>2</v>
      </c>
      <c r="C3" s="4">
        <v>24</v>
      </c>
      <c r="D3" s="4">
        <f t="shared" si="0"/>
        <v>48</v>
      </c>
      <c r="E3" s="2" t="s">
        <v>7</v>
      </c>
      <c r="F3" s="5" t="s">
        <v>8</v>
      </c>
    </row>
    <row r="4" spans="1:6" ht="45" x14ac:dyDescent="0.2">
      <c r="A4" s="3" t="s">
        <v>10</v>
      </c>
      <c r="B4" s="2">
        <v>2</v>
      </c>
      <c r="C4" s="4">
        <v>15</v>
      </c>
      <c r="D4" s="4">
        <f t="shared" si="0"/>
        <v>30</v>
      </c>
      <c r="E4" s="2" t="s">
        <v>7</v>
      </c>
      <c r="F4" s="5" t="s">
        <v>8</v>
      </c>
    </row>
    <row r="5" spans="1:6" ht="45" x14ac:dyDescent="0.2">
      <c r="A5" s="3" t="s">
        <v>11</v>
      </c>
      <c r="B5" s="2">
        <v>1</v>
      </c>
      <c r="C5" s="4">
        <v>6</v>
      </c>
      <c r="D5" s="4">
        <f t="shared" si="0"/>
        <v>6</v>
      </c>
      <c r="E5" s="2" t="s">
        <v>7</v>
      </c>
      <c r="F5" s="5" t="s">
        <v>8</v>
      </c>
    </row>
    <row r="6" spans="1:6" ht="45" x14ac:dyDescent="0.2">
      <c r="A6" s="3" t="s">
        <v>12</v>
      </c>
      <c r="B6" s="2">
        <v>1</v>
      </c>
      <c r="C6" s="4">
        <v>4</v>
      </c>
      <c r="D6" s="4">
        <f t="shared" si="0"/>
        <v>4</v>
      </c>
      <c r="E6" s="2" t="s">
        <v>7</v>
      </c>
      <c r="F6" s="5" t="s">
        <v>13</v>
      </c>
    </row>
    <row r="7" spans="1:6" ht="45" x14ac:dyDescent="0.2">
      <c r="A7" s="3" t="s">
        <v>14</v>
      </c>
      <c r="B7" s="2">
        <v>1</v>
      </c>
      <c r="C7" s="4">
        <v>5</v>
      </c>
      <c r="D7" s="4">
        <f t="shared" si="0"/>
        <v>5</v>
      </c>
      <c r="E7" s="2" t="s">
        <v>7</v>
      </c>
      <c r="F7" s="5" t="s">
        <v>15</v>
      </c>
    </row>
    <row r="8" spans="1:6" ht="45" x14ac:dyDescent="0.2">
      <c r="A8" s="3" t="s">
        <v>16</v>
      </c>
      <c r="B8" s="2">
        <v>3</v>
      </c>
      <c r="C8" s="4">
        <v>2.5</v>
      </c>
      <c r="D8" s="4">
        <f t="shared" si="0"/>
        <v>7.5</v>
      </c>
      <c r="E8" s="2" t="s">
        <v>17</v>
      </c>
      <c r="F8" s="5" t="s">
        <v>18</v>
      </c>
    </row>
    <row r="9" spans="1:6" ht="60" x14ac:dyDescent="0.2">
      <c r="A9" s="3" t="s">
        <v>19</v>
      </c>
      <c r="B9" s="2">
        <v>3</v>
      </c>
      <c r="C9" s="4">
        <v>1.75</v>
      </c>
      <c r="D9" s="4">
        <f t="shared" si="0"/>
        <v>5.25</v>
      </c>
      <c r="E9" s="2" t="s">
        <v>17</v>
      </c>
      <c r="F9" s="5" t="s">
        <v>20</v>
      </c>
    </row>
    <row r="10" spans="1:6" ht="45" x14ac:dyDescent="0.2">
      <c r="A10" s="3" t="s">
        <v>21</v>
      </c>
      <c r="B10" s="2">
        <v>2</v>
      </c>
      <c r="C10" s="4">
        <v>27.5</v>
      </c>
      <c r="D10" s="4">
        <f t="shared" si="0"/>
        <v>55</v>
      </c>
      <c r="E10" s="2" t="s">
        <v>17</v>
      </c>
      <c r="F10" s="5" t="s">
        <v>22</v>
      </c>
    </row>
    <row r="11" spans="1:6" ht="45" x14ac:dyDescent="0.2">
      <c r="A11" s="3" t="s">
        <v>23</v>
      </c>
      <c r="B11" s="2">
        <v>2</v>
      </c>
      <c r="C11" s="4">
        <v>28</v>
      </c>
      <c r="D11" s="4">
        <f t="shared" si="0"/>
        <v>56</v>
      </c>
      <c r="E11" s="2" t="s">
        <v>17</v>
      </c>
      <c r="F11" s="5" t="s">
        <v>22</v>
      </c>
    </row>
    <row r="12" spans="1:6" ht="45" x14ac:dyDescent="0.2">
      <c r="A12" s="3" t="s">
        <v>24</v>
      </c>
      <c r="B12" s="2">
        <v>1</v>
      </c>
      <c r="C12" s="4">
        <v>26</v>
      </c>
      <c r="D12" s="4">
        <f>C12*B12</f>
        <v>26</v>
      </c>
      <c r="E12" s="2" t="s">
        <v>17</v>
      </c>
      <c r="F12" s="5" t="s">
        <v>22</v>
      </c>
    </row>
    <row r="13" spans="1:6" ht="45" x14ac:dyDescent="0.2">
      <c r="A13" s="3" t="s">
        <v>25</v>
      </c>
      <c r="B13" s="2">
        <v>2</v>
      </c>
      <c r="C13" s="4">
        <v>20</v>
      </c>
      <c r="D13" s="4">
        <f>C13*B13</f>
        <v>40</v>
      </c>
      <c r="E13" s="2" t="s">
        <v>26</v>
      </c>
      <c r="F13" s="5" t="s">
        <v>27</v>
      </c>
    </row>
    <row r="14" spans="1:6" ht="45" x14ac:dyDescent="0.2">
      <c r="A14" s="3" t="s">
        <v>28</v>
      </c>
      <c r="B14" s="2">
        <v>1</v>
      </c>
      <c r="C14" s="4">
        <v>25</v>
      </c>
      <c r="D14" s="4">
        <f>C14*B14</f>
        <v>25</v>
      </c>
      <c r="E14" s="2" t="s">
        <v>26</v>
      </c>
      <c r="F14" s="5" t="s">
        <v>29</v>
      </c>
    </row>
    <row r="15" spans="1:6" ht="45" x14ac:dyDescent="0.2">
      <c r="A15" s="3" t="s">
        <v>30</v>
      </c>
      <c r="B15" s="2">
        <v>2</v>
      </c>
      <c r="C15" s="4">
        <v>15</v>
      </c>
      <c r="D15" s="4">
        <f>C15*B15</f>
        <v>30</v>
      </c>
      <c r="E15" s="2" t="s">
        <v>26</v>
      </c>
      <c r="F15" s="5" t="s">
        <v>31</v>
      </c>
    </row>
    <row r="16" spans="1:6" ht="30" x14ac:dyDescent="0.2">
      <c r="A16" s="3" t="s">
        <v>32</v>
      </c>
      <c r="B16" s="2">
        <v>1</v>
      </c>
      <c r="C16" s="4">
        <v>10</v>
      </c>
      <c r="D16" s="4">
        <f>C16*B16</f>
        <v>10</v>
      </c>
      <c r="E16" s="2" t="s">
        <v>26</v>
      </c>
      <c r="F16" s="5" t="s">
        <v>33</v>
      </c>
    </row>
    <row r="17" spans="1:6" ht="45" x14ac:dyDescent="0.2">
      <c r="A17" s="3" t="s">
        <v>34</v>
      </c>
      <c r="B17" s="2">
        <v>1</v>
      </c>
      <c r="C17" s="4">
        <v>15</v>
      </c>
      <c r="D17" s="4">
        <f>C17*B17</f>
        <v>15</v>
      </c>
      <c r="E17" s="2" t="s">
        <v>26</v>
      </c>
      <c r="F17" s="5" t="s">
        <v>35</v>
      </c>
    </row>
    <row r="18" spans="1:6" ht="45" x14ac:dyDescent="0.2">
      <c r="A18" s="3" t="s">
        <v>36</v>
      </c>
      <c r="B18" s="2">
        <v>1</v>
      </c>
      <c r="C18" s="4">
        <v>10</v>
      </c>
      <c r="D18" s="4">
        <f>C18*B18</f>
        <v>10</v>
      </c>
      <c r="E18" s="2" t="s">
        <v>26</v>
      </c>
      <c r="F18" s="5" t="s">
        <v>37</v>
      </c>
    </row>
    <row r="19" spans="1:6" ht="30" x14ac:dyDescent="0.2">
      <c r="A19" s="3" t="s">
        <v>38</v>
      </c>
      <c r="B19" s="2">
        <v>1</v>
      </c>
      <c r="C19" s="4">
        <v>10</v>
      </c>
      <c r="D19" s="4">
        <f>C19*B19</f>
        <v>10</v>
      </c>
      <c r="E19" s="2" t="s">
        <v>26</v>
      </c>
      <c r="F19" s="5" t="s">
        <v>39</v>
      </c>
    </row>
    <row r="20" spans="1:6" ht="30" x14ac:dyDescent="0.2">
      <c r="A20" s="3" t="s">
        <v>40</v>
      </c>
      <c r="B20" s="2">
        <v>1</v>
      </c>
      <c r="C20" s="4">
        <v>20</v>
      </c>
      <c r="D20" s="4">
        <f>C20*B20</f>
        <v>20</v>
      </c>
      <c r="E20" s="2" t="s">
        <v>26</v>
      </c>
      <c r="F20" s="5" t="s">
        <v>41</v>
      </c>
    </row>
    <row r="21" spans="1:6" ht="30" x14ac:dyDescent="0.2">
      <c r="A21" s="3" t="s">
        <v>42</v>
      </c>
      <c r="B21" s="2">
        <v>1</v>
      </c>
      <c r="C21" s="4">
        <v>20</v>
      </c>
      <c r="D21" s="4">
        <f>C21*B21</f>
        <v>20</v>
      </c>
      <c r="E21" s="2" t="s">
        <v>26</v>
      </c>
      <c r="F21" s="5" t="s">
        <v>43</v>
      </c>
    </row>
    <row r="22" spans="1:6" ht="45" x14ac:dyDescent="0.2">
      <c r="A22" s="3" t="s">
        <v>44</v>
      </c>
      <c r="B22" s="2">
        <v>2</v>
      </c>
      <c r="C22" s="4">
        <v>10</v>
      </c>
      <c r="D22" s="4">
        <f t="shared" ref="D22:D23" si="1">C22*B22</f>
        <v>20</v>
      </c>
      <c r="E22" s="2" t="s">
        <v>26</v>
      </c>
      <c r="F22" s="5" t="s">
        <v>45</v>
      </c>
    </row>
    <row r="23" spans="1:6" ht="45" x14ac:dyDescent="0.2">
      <c r="A23" s="3" t="s">
        <v>46</v>
      </c>
      <c r="B23" s="2">
        <v>1</v>
      </c>
      <c r="C23" s="4">
        <v>10</v>
      </c>
      <c r="D23" s="4">
        <f t="shared" si="1"/>
        <v>10</v>
      </c>
      <c r="E23" s="2" t="s">
        <v>26</v>
      </c>
      <c r="F23" s="5" t="s">
        <v>47</v>
      </c>
    </row>
    <row r="24" spans="1:6" x14ac:dyDescent="0.2">
      <c r="A24" s="3" t="s">
        <v>48</v>
      </c>
      <c r="C24" s="4"/>
      <c r="D24" s="4">
        <f>SUM(D8:D23)</f>
        <v>359.75</v>
      </c>
      <c r="F24" s="6"/>
    </row>
    <row r="25" spans="1:6" x14ac:dyDescent="0.2">
      <c r="A25" s="3"/>
      <c r="C25" s="4"/>
      <c r="D25" s="4"/>
      <c r="F25" s="6"/>
    </row>
    <row r="26" spans="1:6" x14ac:dyDescent="0.2">
      <c r="A26" s="3"/>
      <c r="C26" s="4"/>
      <c r="D26" s="4"/>
      <c r="F26" s="6"/>
    </row>
    <row r="27" spans="1:6" x14ac:dyDescent="0.2">
      <c r="A27" s="3"/>
      <c r="C27" s="4"/>
      <c r="D27" s="4"/>
      <c r="F27" s="6"/>
    </row>
    <row r="28" spans="1:6" x14ac:dyDescent="0.2">
      <c r="A28" s="3"/>
      <c r="C28" s="4"/>
      <c r="D28" s="4"/>
      <c r="F28" s="6"/>
    </row>
    <row r="29" spans="1:6" x14ac:dyDescent="0.2">
      <c r="A29" s="3"/>
      <c r="C29" s="4"/>
      <c r="D29" s="4"/>
      <c r="F29" s="6"/>
    </row>
    <row r="30" spans="1:6" x14ac:dyDescent="0.2">
      <c r="A30" s="3"/>
      <c r="C30" s="4"/>
      <c r="D30" s="4"/>
      <c r="F30" s="6"/>
    </row>
    <row r="31" spans="1:6" x14ac:dyDescent="0.2">
      <c r="A31" s="3"/>
      <c r="C31" s="4"/>
      <c r="D31" s="4"/>
      <c r="F31" s="6"/>
    </row>
    <row r="32" spans="1:6" x14ac:dyDescent="0.2">
      <c r="A32" s="3"/>
      <c r="C32" s="4"/>
      <c r="D32" s="4"/>
      <c r="F32" s="6"/>
    </row>
    <row r="33" spans="1:6" x14ac:dyDescent="0.2">
      <c r="A33" s="3"/>
      <c r="C33" s="4"/>
      <c r="D33" s="4"/>
      <c r="F33" s="6"/>
    </row>
    <row r="34" spans="1:6" x14ac:dyDescent="0.2">
      <c r="A34" s="3"/>
      <c r="C34" s="4"/>
      <c r="D34" s="4"/>
      <c r="F34" s="6"/>
    </row>
    <row r="35" spans="1:6" x14ac:dyDescent="0.2">
      <c r="A35" s="3"/>
      <c r="C35" s="4"/>
      <c r="D35" s="4"/>
      <c r="F35" s="6"/>
    </row>
    <row r="36" spans="1:6" x14ac:dyDescent="0.2">
      <c r="A36" s="3"/>
      <c r="C36" s="4"/>
      <c r="D36" s="4"/>
      <c r="F36" s="6"/>
    </row>
    <row r="37" spans="1:6" x14ac:dyDescent="0.2">
      <c r="A37" s="3"/>
      <c r="C37" s="4"/>
      <c r="D37" s="4"/>
      <c r="F37" s="6"/>
    </row>
    <row r="38" spans="1:6" x14ac:dyDescent="0.2">
      <c r="A38" s="3"/>
      <c r="C38" s="4"/>
      <c r="D38" s="4"/>
      <c r="F38" s="6"/>
    </row>
    <row r="39" spans="1:6" x14ac:dyDescent="0.2">
      <c r="A39" s="3"/>
      <c r="C39" s="4"/>
      <c r="D39" s="4"/>
      <c r="F39" s="6"/>
    </row>
    <row r="40" spans="1:6" x14ac:dyDescent="0.2">
      <c r="A40" s="3"/>
      <c r="C40" s="4"/>
      <c r="D40" s="4"/>
      <c r="F40" s="6"/>
    </row>
    <row r="41" spans="1:6" x14ac:dyDescent="0.2">
      <c r="A41" s="3"/>
      <c r="C41" s="4"/>
      <c r="D41" s="4"/>
      <c r="F41" s="6"/>
    </row>
    <row r="42" spans="1:6" x14ac:dyDescent="0.2">
      <c r="A42" s="3"/>
      <c r="C42" s="4"/>
      <c r="D42" s="4"/>
      <c r="F42" s="6"/>
    </row>
    <row r="43" spans="1:6" x14ac:dyDescent="0.2">
      <c r="A43" s="3"/>
      <c r="C43" s="4"/>
      <c r="D43" s="4"/>
      <c r="F43" s="6"/>
    </row>
    <row r="44" spans="1:6" x14ac:dyDescent="0.2">
      <c r="A44" s="3"/>
      <c r="C44" s="4"/>
      <c r="D44" s="4"/>
      <c r="F44" s="6"/>
    </row>
    <row r="45" spans="1:6" x14ac:dyDescent="0.2">
      <c r="A45" s="3"/>
      <c r="C45" s="4"/>
      <c r="D45" s="4"/>
      <c r="F45" s="6"/>
    </row>
    <row r="46" spans="1:6" x14ac:dyDescent="0.2">
      <c r="A46" s="3"/>
      <c r="C46" s="4"/>
      <c r="D46" s="4"/>
      <c r="F46" s="6"/>
    </row>
    <row r="47" spans="1:6" x14ac:dyDescent="0.2">
      <c r="A47" s="3"/>
      <c r="C47" s="4"/>
      <c r="D47" s="4"/>
      <c r="F47" s="6"/>
    </row>
    <row r="48" spans="1:6" x14ac:dyDescent="0.2">
      <c r="A48" s="3"/>
      <c r="F48" s="6"/>
    </row>
    <row r="49" spans="1:6" x14ac:dyDescent="0.2">
      <c r="A49" s="3"/>
      <c r="F49" s="6"/>
    </row>
    <row r="50" spans="1:6" x14ac:dyDescent="0.2">
      <c r="A50" s="3"/>
      <c r="F50" s="6"/>
    </row>
  </sheetData>
  <hyperlinks>
    <hyperlink ref="F8" r:id="rId1"/>
    <hyperlink ref="F10" r:id="rId2"/>
    <hyperlink ref="F11" r:id="rId3"/>
    <hyperlink ref="F12" r:id="rId4"/>
    <hyperlink ref="F9" r:id="rId5"/>
    <hyperlink ref="F13" r:id="rId6"/>
    <hyperlink ref="F14" r:id="rId7"/>
    <hyperlink ref="F15" r:id="rId8"/>
    <hyperlink ref="F16" r:id="rId9"/>
    <hyperlink ref="F17" r:id="rId10"/>
    <hyperlink ref="F18" r:id="rId11"/>
    <hyperlink ref="F20" r:id="rId12"/>
    <hyperlink ref="F21" r:id="rId13"/>
    <hyperlink ref="F19" r:id="rId14"/>
    <hyperlink ref="F7" r:id="rId15"/>
    <hyperlink ref="F2" r:id="rId16"/>
    <hyperlink ref="F3" r:id="rId17"/>
    <hyperlink ref="F4" r:id="rId18"/>
    <hyperlink ref="F5" r:id="rId19"/>
    <hyperlink ref="F6" r:id="rId20"/>
    <hyperlink ref="F22" r:id="rId21"/>
    <hyperlink ref="F23" r:id="rId22"/>
  </hyperlinks>
  <pageMargins left="0.7" right="0.7" top="0.75" bottom="0.75" header="0.3" footer="0.3"/>
  <tableParts count="1">
    <tablePart r:id="rId2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OSSM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2026-01-31T20:19:07Z</dcterms:created>
  <dcterms:modified xsi:type="dcterms:W3CDTF">2026-01-31T20:19:34Z</dcterms:modified>
</cp:coreProperties>
</file>